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estions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A84C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9A84C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/>
    </xf>
    <xf numFmtId="0" fontId="7" fillId="4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40" customWidth="1" min="14" max="14"/>
  </cols>
  <sheetData>
    <row r="1" ht="36" customHeight="1">
      <c r="A1" s="1" t="inlineStr">
        <is>
          <t>🌿  Wedding Venue Tracker</t>
        </is>
      </c>
    </row>
    <row r="2" ht="22" customHeight="1">
      <c r="A2" s="2" t="inlineStr">
        <is>
          <t>Track venues, contacts, available dates, and key details — all in one place</t>
        </is>
      </c>
    </row>
    <row r="3" ht="6" customHeight="1"/>
    <row r="4" ht="32" customHeight="1">
      <c r="A4" s="3" t="inlineStr">
        <is>
          <t>Venue Name</t>
        </is>
      </c>
      <c r="B4" s="3" t="inlineStr">
        <is>
          <t>Contact Name</t>
        </is>
      </c>
      <c r="C4" s="3" t="inlineStr">
        <is>
          <t>Contact Phone</t>
        </is>
      </c>
      <c r="D4" s="3" t="inlineStr">
        <is>
          <t>Contact Email</t>
        </is>
      </c>
      <c r="E4" s="3" t="inlineStr">
        <is>
          <t>Date Contacted</t>
        </is>
      </c>
      <c r="F4" s="3" t="inlineStr">
        <is>
          <t>Available Date 1</t>
        </is>
      </c>
      <c r="G4" s="3" t="inlineStr">
        <is>
          <t>Available Date 2</t>
        </is>
      </c>
      <c r="H4" s="3" t="inlineStr">
        <is>
          <t>Available Date 3</t>
        </is>
      </c>
      <c r="I4" s="3" t="inlineStr">
        <is>
          <t>Est. Capacity</t>
        </is>
      </c>
      <c r="J4" s="3" t="inlineStr">
        <is>
          <t>Est. Cost ($)</t>
        </is>
      </c>
      <c r="K4" s="3" t="inlineStr">
        <is>
          <t>Deposit Req'd ($)</t>
        </is>
      </c>
      <c r="L4" s="3" t="inlineStr">
        <is>
          <t>Status</t>
        </is>
      </c>
      <c r="M4" s="3" t="inlineStr">
        <is>
          <t>Rating (1–5)</t>
        </is>
      </c>
      <c r="N4" s="3" t="inlineStr">
        <is>
          <t>Notes</t>
        </is>
      </c>
    </row>
    <row r="5">
      <c r="A5" s="4" t="inlineStr">
        <is>
          <t>Living Sculpture Sanctuary</t>
        </is>
      </c>
      <c r="B5" s="4" t="inlineStr">
        <is>
          <t>Jane Doe</t>
        </is>
      </c>
      <c r="C5" s="4" t="inlineStr">
        <is>
          <t>(954) 555-0101</t>
        </is>
      </c>
      <c r="D5" s="4" t="inlineStr">
        <is>
          <t>jane@livingsculpture.com</t>
        </is>
      </c>
      <c r="E5" s="4" t="inlineStr">
        <is>
          <t>4/15/2026</t>
        </is>
      </c>
      <c r="F5" s="4" t="inlineStr">
        <is>
          <t>10/4/2026</t>
        </is>
      </c>
      <c r="G5" s="4" t="inlineStr">
        <is>
          <t>10/18/2026</t>
        </is>
      </c>
      <c r="H5" s="4" t="inlineStr">
        <is>
          <t>11/1/2026</t>
        </is>
      </c>
      <c r="I5" s="4" t="n">
        <v>150</v>
      </c>
      <c r="J5" s="4" t="n">
        <v>8500</v>
      </c>
      <c r="K5" s="4" t="n">
        <v>2000</v>
      </c>
      <c r="L5" s="4" t="inlineStr">
        <is>
          <t>Tour Scheduled</t>
        </is>
      </c>
      <c r="M5" s="4" t="n">
        <v>5</v>
      </c>
      <c r="N5" s="5" t="inlineStr">
        <is>
          <t>Stunning botanical setting in Davie; outdoor ceremony space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7" t="inlineStr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 t="n"/>
    </row>
    <row r="20" ht="2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</row>
    <row r="22" ht="2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n"/>
    </row>
    <row r="24" ht="22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</row>
  </sheetData>
  <mergeCells count="2">
    <mergeCell ref="A2:N2"/>
    <mergeCell ref="A1:N1"/>
  </mergeCells>
  <dataValidations count="2">
    <dataValidation sqref="L5:L24" showDropDown="0" showInputMessage="0" showErrorMessage="0" allowBlank="0" type="list">
      <formula1>"Not Contacted,Contacted,Tour Scheduled,Tour Completed,Proposal Received,Negotiating,Deposit Paid,Booked,Declined,On Hold"</formula1>
    </dataValidation>
    <dataValidation sqref="M5:M24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4" customHeight="1">
      <c r="A1" s="8" t="inlineStr">
        <is>
          <t>📊  Venue Summary</t>
        </is>
      </c>
    </row>
    <row r="3" ht="24" customHeight="1">
      <c r="A3" s="9" t="inlineStr">
        <is>
          <t>Metric</t>
        </is>
      </c>
      <c r="B3" s="9" t="inlineStr">
        <is>
          <t>Value</t>
        </is>
      </c>
    </row>
    <row r="4" ht="22" customHeight="1">
      <c r="A4" s="10" t="inlineStr">
        <is>
          <t>Total Venues Tracked</t>
        </is>
      </c>
      <c r="B4" s="11">
        <f>COUNTA('Venue Tracker'!A5:A24)</f>
        <v/>
      </c>
    </row>
    <row r="5" ht="22" customHeight="1">
      <c r="A5" s="12" t="inlineStr">
        <is>
          <t>Tours Scheduled</t>
        </is>
      </c>
      <c r="B5" s="13">
        <f>COUNTIF('Venue Tracker'!L5:L24,"Tour Scheduled")</f>
        <v/>
      </c>
    </row>
    <row r="6" ht="22" customHeight="1">
      <c r="A6" s="10" t="inlineStr">
        <is>
          <t>Tours Completed</t>
        </is>
      </c>
      <c r="B6" s="11">
        <f>COUNTIF('Venue Tracker'!L5:L24,"Tour Completed")</f>
        <v/>
      </c>
    </row>
    <row r="7" ht="22" customHeight="1">
      <c r="A7" s="12" t="inlineStr">
        <is>
          <t>Proposals Received</t>
        </is>
      </c>
      <c r="B7" s="13">
        <f>COUNTIF('Venue Tracker'!L5:L24,"Proposal Received")</f>
        <v/>
      </c>
    </row>
    <row r="8" ht="22" customHeight="1">
      <c r="A8" s="10" t="inlineStr">
        <is>
          <t>Venue Booked</t>
        </is>
      </c>
      <c r="B8" s="11">
        <f>COUNTIF('Venue Tracker'!L5:L24,"Booked")</f>
        <v/>
      </c>
    </row>
    <row r="9" ht="22" customHeight="1">
      <c r="A9" s="12" t="inlineStr">
        <is>
          <t>Avg. Estimated Cost ($)</t>
        </is>
      </c>
      <c r="B9" s="13">
        <f>IFERROR(AVERAGEIF('Venue Tracker'!J5:J24,"&lt;&gt;"&amp;""),"-")</f>
        <v/>
      </c>
    </row>
    <row r="10" ht="22" customHeight="1">
      <c r="A10" s="10" t="inlineStr">
        <is>
          <t>Lowest Estimated Cost ($)</t>
        </is>
      </c>
      <c r="B10" s="11">
        <f>IFERROR(MIN(IF('Venue Tracker'!J5:J24&lt;&gt;"",'Venue Tracker'!J5:J24)),"-")</f>
        <v/>
      </c>
    </row>
    <row r="11" ht="22" customHeight="1">
      <c r="A11" s="12" t="inlineStr">
        <is>
          <t>Highest Estimated Cost ($)</t>
        </is>
      </c>
      <c r="B11" s="13">
        <f>IFERROR(MAX('Venue Tracker'!J5:J24),"-")</f>
        <v/>
      </c>
    </row>
    <row r="12" ht="22" customHeight="1">
      <c r="A12" s="10" t="inlineStr">
        <is>
          <t>Avg. Rating</t>
        </is>
      </c>
      <c r="B12" s="11">
        <f>IFERROR(AVERAGEIF('Venue Tracker'!M5:M24,"&lt;&gt;"&amp;""),"-")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40" customWidth="1" min="4" max="4"/>
  </cols>
  <sheetData>
    <row r="1" ht="34" customHeight="1">
      <c r="A1" s="8" t="inlineStr">
        <is>
          <t>✅  Questions to Ask Every Venue</t>
        </is>
      </c>
    </row>
    <row r="3" ht="26" customHeight="1">
      <c r="A3" s="14" t="inlineStr">
        <is>
          <t>#</t>
        </is>
      </c>
      <c r="B3" s="14" t="inlineStr">
        <is>
          <t>Question</t>
        </is>
      </c>
      <c r="C3" s="14" t="inlineStr">
        <is>
          <t>Asked?</t>
        </is>
      </c>
      <c r="D3" s="14" t="inlineStr">
        <is>
          <t>Notes</t>
        </is>
      </c>
    </row>
    <row r="4" ht="22" customHeight="1">
      <c r="A4" s="15" t="n">
        <v>1</v>
      </c>
      <c r="B4" s="5" t="inlineStr">
        <is>
          <t>What dates are available for our target wedding date range?</t>
        </is>
      </c>
      <c r="C4" s="11" t="inlineStr">
        <is>
          <t>Pending</t>
        </is>
      </c>
      <c r="D4" s="16" t="n"/>
    </row>
    <row r="5" ht="22" customHeight="1">
      <c r="A5" s="17" t="n">
        <v>2</v>
      </c>
      <c r="B5" s="7" t="inlineStr">
        <is>
          <t>What is the maximum guest capacity (indoor and outdoor)?</t>
        </is>
      </c>
      <c r="C5" s="13" t="inlineStr">
        <is>
          <t>Pending</t>
        </is>
      </c>
      <c r="D5" s="18" t="n"/>
    </row>
    <row r="6" ht="22" customHeight="1">
      <c r="A6" s="15" t="n">
        <v>3</v>
      </c>
      <c r="B6" s="5" t="inlineStr">
        <is>
          <t>What is the total rental fee and what does it include?</t>
        </is>
      </c>
      <c r="C6" s="11" t="inlineStr">
        <is>
          <t>Pending</t>
        </is>
      </c>
      <c r="D6" s="16" t="n"/>
    </row>
    <row r="7" ht="22" customHeight="1">
      <c r="A7" s="17" t="n">
        <v>4</v>
      </c>
      <c r="B7" s="7" t="inlineStr">
        <is>
          <t>Is there a required deposit and what is the payment schedule?</t>
        </is>
      </c>
      <c r="C7" s="13" t="inlineStr">
        <is>
          <t>Pending</t>
        </is>
      </c>
      <c r="D7" s="18" t="n"/>
    </row>
    <row r="8" ht="22" customHeight="1">
      <c r="A8" s="15" t="n">
        <v>5</v>
      </c>
      <c r="B8" s="5" t="inlineStr">
        <is>
          <t>What is the cancellation/rescheduling policy?</t>
        </is>
      </c>
      <c r="C8" s="11" t="inlineStr">
        <is>
          <t>Pending</t>
        </is>
      </c>
      <c r="D8" s="16" t="n"/>
    </row>
    <row r="9" ht="22" customHeight="1">
      <c r="A9" s="17" t="n">
        <v>6</v>
      </c>
      <c r="B9" s="7" t="inlineStr">
        <is>
          <t>Is the venue exclusive on our date (no other events)?</t>
        </is>
      </c>
      <c r="C9" s="13" t="inlineStr">
        <is>
          <t>Pending</t>
        </is>
      </c>
      <c r="D9" s="18" t="n"/>
    </row>
    <row r="10" ht="22" customHeight="1">
      <c r="A10" s="15" t="n">
        <v>7</v>
      </c>
      <c r="B10" s="5" t="inlineStr">
        <is>
          <t>Are outside caterers allowed or is catering in-house only?</t>
        </is>
      </c>
      <c r="C10" s="11" t="inlineStr">
        <is>
          <t>Pending</t>
        </is>
      </c>
      <c r="D10" s="16" t="n"/>
    </row>
    <row r="11" ht="22" customHeight="1">
      <c r="A11" s="17" t="n">
        <v>8</v>
      </c>
      <c r="B11" s="7" t="inlineStr">
        <is>
          <t>Is there a list of preferred/required vendors?</t>
        </is>
      </c>
      <c r="C11" s="13" t="inlineStr">
        <is>
          <t>Pending</t>
        </is>
      </c>
      <c r="D11" s="18" t="n"/>
    </row>
    <row r="12" ht="22" customHeight="1">
      <c r="A12" s="15" t="n">
        <v>9</v>
      </c>
      <c r="B12" s="5" t="inlineStr">
        <is>
          <t>What is the setup and breakdown time allowed?</t>
        </is>
      </c>
      <c r="C12" s="11" t="inlineStr">
        <is>
          <t>Pending</t>
        </is>
      </c>
      <c r="D12" s="16" t="n"/>
    </row>
    <row r="13" ht="22" customHeight="1">
      <c r="A13" s="17" t="n">
        <v>10</v>
      </c>
      <c r="B13" s="7" t="inlineStr">
        <is>
          <t>Is there a bridal suite or getting-ready space on site?</t>
        </is>
      </c>
      <c r="C13" s="13" t="inlineStr">
        <is>
          <t>Pending</t>
        </is>
      </c>
      <c r="D13" s="18" t="n"/>
    </row>
    <row r="14" ht="22" customHeight="1">
      <c r="A14" s="15" t="n">
        <v>11</v>
      </c>
      <c r="B14" s="5" t="inlineStr">
        <is>
          <t>What are the parking options for guests?</t>
        </is>
      </c>
      <c r="C14" s="11" t="inlineStr">
        <is>
          <t>Pending</t>
        </is>
      </c>
      <c r="D14" s="16" t="n"/>
    </row>
    <row r="15" ht="22" customHeight="1">
      <c r="A15" s="17" t="n">
        <v>12</v>
      </c>
      <c r="B15" s="7" t="inlineStr">
        <is>
          <t>Is the venue ADA accessible?</t>
        </is>
      </c>
      <c r="C15" s="13" t="inlineStr">
        <is>
          <t>Pending</t>
        </is>
      </c>
      <c r="D15" s="18" t="n"/>
    </row>
    <row r="16" ht="22" customHeight="1">
      <c r="A16" s="15" t="n">
        <v>13</v>
      </c>
      <c r="B16" s="5" t="inlineStr">
        <is>
          <t>What happens in case of rain (backup plan/tent options)?</t>
        </is>
      </c>
      <c r="C16" s="11" t="inlineStr">
        <is>
          <t>Pending</t>
        </is>
      </c>
      <c r="D16" s="16" t="n"/>
    </row>
    <row r="17" ht="22" customHeight="1">
      <c r="A17" s="17" t="n">
        <v>14</v>
      </c>
      <c r="B17" s="7" t="inlineStr">
        <is>
          <t>Is there a noise curfew or amplified music restriction?</t>
        </is>
      </c>
      <c r="C17" s="13" t="inlineStr">
        <is>
          <t>Pending</t>
        </is>
      </c>
      <c r="D17" s="18" t="n"/>
    </row>
    <row r="18" ht="22" customHeight="1">
      <c r="A18" s="15" t="n">
        <v>15</v>
      </c>
      <c r="B18" s="5" t="inlineStr">
        <is>
          <t>Are there any decor restrictions (candles, confetti, etc.)?</t>
        </is>
      </c>
      <c r="C18" s="11" t="inlineStr">
        <is>
          <t>Pending</t>
        </is>
      </c>
      <c r="D18" s="16" t="n"/>
    </row>
    <row r="19" ht="22" customHeight="1">
      <c r="A19" s="17" t="n">
        <v>16</v>
      </c>
      <c r="B19" s="7" t="inlineStr">
        <is>
          <t>What tables, chairs, and linens are included?</t>
        </is>
      </c>
      <c r="C19" s="13" t="inlineStr">
        <is>
          <t>Pending</t>
        </is>
      </c>
      <c r="D19" s="18" t="n"/>
    </row>
    <row r="20" ht="22" customHeight="1">
      <c r="A20" s="15" t="n">
        <v>17</v>
      </c>
      <c r="B20" s="5" t="inlineStr">
        <is>
          <t>Is there on-site coordination included or available?</t>
        </is>
      </c>
      <c r="C20" s="11" t="inlineStr">
        <is>
          <t>Pending</t>
        </is>
      </c>
      <c r="D20" s="16" t="n"/>
    </row>
    <row r="21" ht="22" customHeight="1">
      <c r="A21" s="17" t="n">
        <v>18</v>
      </c>
      <c r="B21" s="7" t="inlineStr">
        <is>
          <t>What AV/sound/lighting equipment is available?</t>
        </is>
      </c>
      <c r="C21" s="13" t="inlineStr">
        <is>
          <t>Pending</t>
        </is>
      </c>
      <c r="D21" s="18" t="n"/>
    </row>
    <row r="22" ht="22" customHeight="1">
      <c r="A22" s="15" t="n">
        <v>19</v>
      </c>
      <c r="B22" s="5" t="inlineStr">
        <is>
          <t>Are there overnight accommodations on site or nearby?</t>
        </is>
      </c>
      <c r="C22" s="11" t="inlineStr">
        <is>
          <t>Pending</t>
        </is>
      </c>
      <c r="D22" s="16" t="n"/>
    </row>
    <row r="23" ht="22" customHeight="1">
      <c r="A23" s="17" t="n">
        <v>20</v>
      </c>
      <c r="B23" s="7" t="inlineStr">
        <is>
          <t>Can we do a site visit and tasting before booking?</t>
        </is>
      </c>
      <c r="C23" s="13" t="inlineStr">
        <is>
          <t>Pending</t>
        </is>
      </c>
      <c r="D23" s="18" t="n"/>
    </row>
  </sheetData>
  <mergeCells count="1">
    <mergeCell ref="A1:D1"/>
  </mergeCells>
  <dataValidations count="1">
    <dataValidation sqref="C4:C23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2026-04-28T19:00:00Z</dcterms:created>
  <dcterms:modified xmlns:dcterms="http://purl.org/dc/terms/" xmlns:xsi="http://www.w3.org/2001/XMLSchema-instance" xsi:type="dcterms:W3CDTF">2026-04-28T19:00:00Z</dcterms:modified>
</cp:coreProperties>
</file>